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chO\Desktop\"/>
    </mc:Choice>
  </mc:AlternateContent>
  <xr:revisionPtr revIDLastSave="0" documentId="13_ncr:1_{D0192CB8-7426-4485-8AAC-464D957670DD}" xr6:coauthVersionLast="47" xr6:coauthVersionMax="47" xr10:uidLastSave="{00000000-0000-0000-0000-000000000000}"/>
  <bookViews>
    <workbookView xWindow="-120" yWindow="-120" windowWidth="29040" windowHeight="15990" xr2:uid="{70EED2D2-2E31-46CD-9C2B-B65DCDB4855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H25" i="1" s="1"/>
  <c r="J25" i="1" s="1"/>
  <c r="G24" i="1"/>
  <c r="H24" i="1" s="1"/>
  <c r="G22" i="1"/>
  <c r="H22" i="1" s="1"/>
  <c r="G21" i="1"/>
  <c r="H21" i="1" s="1"/>
  <c r="G19" i="1"/>
  <c r="H19" i="1" s="1"/>
  <c r="G18" i="1"/>
  <c r="H18" i="1" s="1"/>
  <c r="G16" i="1"/>
  <c r="H16" i="1" s="1"/>
  <c r="J16" i="1" s="1"/>
  <c r="G15" i="1"/>
  <c r="H15" i="1" s="1"/>
  <c r="G13" i="1"/>
  <c r="H13" i="1" s="1"/>
  <c r="J13" i="1" s="1"/>
  <c r="G12" i="1"/>
  <c r="H12" i="1" s="1"/>
  <c r="I12" i="1" s="1"/>
  <c r="G10" i="1"/>
  <c r="H10" i="1" s="1"/>
  <c r="G9" i="1"/>
  <c r="H9" i="1" s="1"/>
  <c r="J10" i="1"/>
  <c r="J19" i="1"/>
  <c r="J22" i="1"/>
  <c r="I18" i="1" l="1"/>
  <c r="J18" i="1" s="1"/>
  <c r="I15" i="1"/>
  <c r="J15" i="1" s="1"/>
  <c r="I9" i="1"/>
  <c r="J9" i="1" s="1"/>
  <c r="I24" i="1"/>
  <c r="J24" i="1" s="1"/>
  <c r="J12" i="1"/>
  <c r="I21" i="1"/>
  <c r="J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Olivia Busch</author>
  </authors>
  <commentList>
    <comment ref="G7" authorId="0" shapeId="0" xr:uid="{7CA873F6-40BA-4B5F-ACB2-B34C6E7B2C46}">
      <text>
        <r>
          <rPr>
            <b/>
            <sz val="9"/>
            <color indexed="81"/>
            <rFont val="Segoe UI"/>
            <family val="2"/>
          </rPr>
          <t>Olivia Busch:</t>
        </r>
        <r>
          <rPr>
            <sz val="9"/>
            <color indexed="81"/>
            <rFont val="Segoe UI"/>
            <family val="2"/>
          </rPr>
          <t xml:space="preserve">
kPa muss in hPa umgewandelt werden</t>
        </r>
      </text>
    </comment>
    <comment ref="H7" authorId="0" shapeId="0" xr:uid="{E4AFE2F0-99C4-4DB7-A85C-9FDC0ABF6125}">
      <text>
        <r>
          <rPr>
            <b/>
            <sz val="9"/>
            <color indexed="81"/>
            <rFont val="Segoe UI"/>
            <family val="2"/>
          </rPr>
          <t>Olivia Busch:</t>
        </r>
        <r>
          <rPr>
            <sz val="9"/>
            <color indexed="81"/>
            <rFont val="Segoe UI"/>
            <family val="2"/>
          </rPr>
          <t xml:space="preserve">
dekadischer Logarithmus des hPa Betrages</t>
        </r>
      </text>
    </comment>
    <comment ref="I7" authorId="0" shapeId="0" xr:uid="{C90A25E4-AD78-4C56-A171-F014F056F038}">
      <text>
        <r>
          <rPr>
            <b/>
            <sz val="9"/>
            <color indexed="81"/>
            <rFont val="Segoe UI"/>
            <charset val="1"/>
          </rPr>
          <t>Olivia Busch:</t>
        </r>
        <r>
          <rPr>
            <sz val="9"/>
            <color indexed="81"/>
            <rFont val="Segoe UI"/>
            <charset val="1"/>
          </rPr>
          <t xml:space="preserve">
arithmetisches Mittel aus Wert A und B (Tiefe a und Tiefe b)</t>
        </r>
      </text>
    </comment>
    <comment ref="J7" authorId="0" shapeId="0" xr:uid="{79897C40-CDE8-4153-B982-2ABC05579398}">
      <text>
        <r>
          <rPr>
            <b/>
            <sz val="9"/>
            <color indexed="81"/>
            <rFont val="Segoe UI"/>
            <family val="2"/>
          </rPr>
          <t>Olivia Busch:</t>
        </r>
        <r>
          <rPr>
            <sz val="9"/>
            <color indexed="81"/>
            <rFont val="Segoe UI"/>
            <family val="2"/>
          </rPr>
          <t xml:space="preserve">
definierte Wertebereiche nach denen der Standort in der Übersichtskarte eingefärbt wird</t>
        </r>
      </text>
    </comment>
    <comment ref="K7" authorId="0" shapeId="0" xr:uid="{F1135505-8CCD-4EF1-B24D-A442ACD90CF6}">
      <text>
        <r>
          <rPr>
            <b/>
            <sz val="9"/>
            <color indexed="81"/>
            <rFont val="Segoe UI"/>
            <family val="2"/>
          </rPr>
          <t>Olivia Busch:</t>
        </r>
        <r>
          <rPr>
            <sz val="9"/>
            <color indexed="81"/>
            <rFont val="Segoe UI"/>
            <family val="2"/>
          </rPr>
          <t xml:space="preserve">
definierte Wertebereiche für alle SWs einer RF, gemäß denen die RF eingefärbt wird</t>
        </r>
      </text>
    </comment>
    <comment ref="B8" authorId="0" shapeId="0" xr:uid="{500009A3-D984-4576-A182-A7C8A43AEF4F}">
      <text>
        <r>
          <rPr>
            <b/>
            <sz val="9"/>
            <color indexed="81"/>
            <rFont val="Segoe UI"/>
            <family val="2"/>
          </rPr>
          <t>Olivia Busch:</t>
        </r>
        <r>
          <rPr>
            <sz val="9"/>
            <color indexed="81"/>
            <rFont val="Segoe UI"/>
            <family val="2"/>
          </rPr>
          <t xml:space="preserve">
die Referenzflächen sind im GIS abgetragen</t>
        </r>
      </text>
    </comment>
    <comment ref="C8" authorId="0" shapeId="0" xr:uid="{4D8699A4-A662-4F2F-A3E7-FA9C8E4296FA}">
      <text>
        <r>
          <rPr>
            <b/>
            <sz val="9"/>
            <color indexed="81"/>
            <rFont val="Segoe UI"/>
            <family val="2"/>
          </rPr>
          <t>Olivia Busch:</t>
        </r>
        <r>
          <rPr>
            <sz val="9"/>
            <color indexed="81"/>
            <rFont val="Segoe UI"/>
            <family val="2"/>
          </rPr>
          <t xml:space="preserve">
die Standorte der Sensoren sind im GIS eingepflegt; ein SO liefert immer 2 Messwerte (2 Tiefen)</t>
        </r>
      </text>
    </comment>
    <comment ref="D8" authorId="0" shapeId="0" xr:uid="{98856EC5-C71B-416D-8AC4-132A7D7EB311}">
      <text>
        <r>
          <rPr>
            <b/>
            <sz val="9"/>
            <color indexed="81"/>
            <rFont val="Segoe UI"/>
            <family val="2"/>
          </rPr>
          <t>Olivia Busch:</t>
        </r>
        <r>
          <rPr>
            <sz val="9"/>
            <color indexed="81"/>
            <rFont val="Segoe UI"/>
            <family val="2"/>
          </rPr>
          <t xml:space="preserve">
Wert 1 = Tiefe a
Wert 2 = Tiefe b</t>
        </r>
      </text>
    </comment>
    <comment ref="M14" authorId="0" shapeId="0" xr:uid="{E66A4139-D68B-4233-995C-80A7C5330F07}">
      <text>
        <r>
          <rPr>
            <b/>
            <sz val="9"/>
            <color indexed="81"/>
            <rFont val="Segoe UI"/>
            <family val="2"/>
          </rPr>
          <t>Olivia Busch:</t>
        </r>
        <r>
          <rPr>
            <sz val="9"/>
            <color indexed="81"/>
            <rFont val="Segoe UI"/>
            <family val="2"/>
          </rPr>
          <t xml:space="preserve">
5 verschiedene Fälle sind Möglich (</t>
        </r>
        <r>
          <rPr>
            <b/>
            <sz val="9"/>
            <color indexed="81"/>
            <rFont val="Segoe UI"/>
            <family val="2"/>
          </rPr>
          <t>1 SSO/RF</t>
        </r>
        <r>
          <rPr>
            <sz val="9"/>
            <color indexed="81"/>
            <rFont val="Segoe UI"/>
            <family val="2"/>
          </rPr>
          <t xml:space="preserve"> bis </t>
        </r>
        <r>
          <rPr>
            <b/>
            <sz val="9"/>
            <color indexed="81"/>
            <rFont val="Segoe UI"/>
            <family val="2"/>
          </rPr>
          <t>5 SSO/RF</t>
        </r>
        <r>
          <rPr>
            <sz val="9"/>
            <color indexed="81"/>
            <rFont val="Segoe UI"/>
            <family val="2"/>
          </rPr>
          <t>); der Standardfall ist 3 SSO/RF)</t>
        </r>
      </text>
    </comment>
    <comment ref="N14" authorId="0" shapeId="0" xr:uid="{7D73F084-EE12-4AE2-A240-0AC787C8025D}">
      <text>
        <r>
          <rPr>
            <b/>
            <sz val="9"/>
            <color indexed="81"/>
            <rFont val="Segoe UI"/>
            <family val="2"/>
          </rPr>
          <t xml:space="preserve">Olivia Busch:
</t>
        </r>
        <r>
          <rPr>
            <sz val="9"/>
            <color indexed="81"/>
            <rFont val="Segoe UI"/>
            <family val="2"/>
          </rPr>
          <t>2 Messwerte</t>
        </r>
      </text>
    </comment>
    <comment ref="O14" authorId="0" shapeId="0" xr:uid="{D3ABA341-7FC0-4D85-824E-A3311B012262}">
      <text>
        <r>
          <rPr>
            <b/>
            <sz val="9"/>
            <color indexed="81"/>
            <rFont val="Segoe UI"/>
            <family val="2"/>
          </rPr>
          <t>Olivia Busch:</t>
        </r>
        <r>
          <rPr>
            <sz val="9"/>
            <color indexed="81"/>
            <rFont val="Segoe UI"/>
            <family val="2"/>
          </rPr>
          <t xml:space="preserve">
4 Messwerte</t>
        </r>
      </text>
    </comment>
    <comment ref="O15" authorId="0" shapeId="0" xr:uid="{653FF56E-8051-4D6A-9BD2-03FAF5C10F49}">
      <text>
        <r>
          <rPr>
            <b/>
            <sz val="9"/>
            <color indexed="81"/>
            <rFont val="Segoe UI"/>
            <family val="2"/>
          </rPr>
          <t>Olivia Busch:</t>
        </r>
        <r>
          <rPr>
            <sz val="9"/>
            <color indexed="81"/>
            <rFont val="Segoe UI"/>
            <family val="2"/>
          </rPr>
          <t xml:space="preserve">
SW1 ist das arithmetische Mittel aus den beiden SWs der RF</t>
        </r>
      </text>
    </comment>
    <comment ref="M23" authorId="0" shapeId="0" xr:uid="{EB649676-1F5C-4B3A-B69D-BFB58A39069C}">
      <text>
        <r>
          <rPr>
            <b/>
            <sz val="9"/>
            <color indexed="81"/>
            <rFont val="Segoe UI"/>
            <family val="2"/>
          </rPr>
          <t>Olivia Busch:</t>
        </r>
        <r>
          <rPr>
            <sz val="9"/>
            <color indexed="81"/>
            <rFont val="Segoe UI"/>
            <family val="2"/>
          </rPr>
          <t xml:space="preserve">
5 verschiedene Fälle sind Möglich (</t>
        </r>
        <r>
          <rPr>
            <b/>
            <sz val="9"/>
            <color indexed="81"/>
            <rFont val="Segoe UI"/>
            <family val="2"/>
          </rPr>
          <t>1 SSO/RF</t>
        </r>
        <r>
          <rPr>
            <sz val="9"/>
            <color indexed="81"/>
            <rFont val="Segoe UI"/>
            <family val="2"/>
          </rPr>
          <t xml:space="preserve"> bis </t>
        </r>
        <r>
          <rPr>
            <b/>
            <sz val="9"/>
            <color indexed="81"/>
            <rFont val="Segoe UI"/>
            <family val="2"/>
          </rPr>
          <t>5 SSO/RF</t>
        </r>
        <r>
          <rPr>
            <sz val="9"/>
            <color indexed="81"/>
            <rFont val="Segoe UI"/>
            <family val="2"/>
          </rPr>
          <t>); der Standardfall ist 3 SSO/RF)</t>
        </r>
      </text>
    </comment>
    <comment ref="N23" authorId="0" shapeId="0" xr:uid="{1112F884-E084-40D4-B85E-2D48CF265057}">
      <text>
        <r>
          <rPr>
            <b/>
            <sz val="9"/>
            <color indexed="81"/>
            <rFont val="Segoe UI"/>
            <family val="2"/>
          </rPr>
          <t>Olivia Busch:</t>
        </r>
        <r>
          <rPr>
            <sz val="9"/>
            <color indexed="81"/>
            <rFont val="Segoe UI"/>
            <family val="2"/>
          </rPr>
          <t xml:space="preserve">
6 Messwerte</t>
        </r>
      </text>
    </comment>
    <comment ref="O23" authorId="0" shapeId="0" xr:uid="{F831116B-32C7-4B6E-8DF2-340379D389AD}">
      <text>
        <r>
          <rPr>
            <b/>
            <sz val="9"/>
            <color indexed="81"/>
            <rFont val="Segoe UI"/>
            <family val="2"/>
          </rPr>
          <t>Olivia Busch:</t>
        </r>
        <r>
          <rPr>
            <sz val="9"/>
            <color indexed="81"/>
            <rFont val="Segoe UI"/>
            <family val="2"/>
          </rPr>
          <t xml:space="preserve">
8 Messwerte</t>
        </r>
      </text>
    </comment>
    <comment ref="P23" authorId="0" shapeId="0" xr:uid="{4C43C902-84CF-4FBA-B6C9-9B24331B4884}">
      <text>
        <r>
          <rPr>
            <b/>
            <sz val="9"/>
            <color indexed="81"/>
            <rFont val="Segoe UI"/>
            <family val="2"/>
          </rPr>
          <t>Olivia Busch:</t>
        </r>
        <r>
          <rPr>
            <sz val="9"/>
            <color indexed="81"/>
            <rFont val="Segoe UI"/>
            <family val="2"/>
          </rPr>
          <t xml:space="preserve">
10 Messwerte</t>
        </r>
      </text>
    </comment>
  </commentList>
</comments>
</file>

<file path=xl/sharedStrings.xml><?xml version="1.0" encoding="utf-8"?>
<sst xmlns="http://schemas.openxmlformats.org/spreadsheetml/2006/main" count="87" uniqueCount="55">
  <si>
    <t>Wert A</t>
  </si>
  <si>
    <t>Wert B</t>
  </si>
  <si>
    <t>Wert C</t>
  </si>
  <si>
    <t>Wert D</t>
  </si>
  <si>
    <t>Wert E</t>
  </si>
  <si>
    <t>Wert F</t>
  </si>
  <si>
    <t>Wert G</t>
  </si>
  <si>
    <t>Wert H</t>
  </si>
  <si>
    <t>Wert I</t>
  </si>
  <si>
    <t>Wert J</t>
  </si>
  <si>
    <t>Wert K</t>
  </si>
  <si>
    <t>Wert L</t>
  </si>
  <si>
    <t>Standortwert (SW)</t>
  </si>
  <si>
    <t>In</t>
  </si>
  <si>
    <t>Out</t>
  </si>
  <si>
    <t>Standortfarbe (SF)</t>
  </si>
  <si>
    <t>1,7 bis 6,0 pF</t>
  </si>
  <si>
    <t>Tiefe a (30 cm)</t>
  </si>
  <si>
    <t>Tiefe b (60 cm)</t>
  </si>
  <si>
    <t>Referenzfläche (RF) A</t>
  </si>
  <si>
    <t>Referenzfläche (RF) B</t>
  </si>
  <si>
    <t>hPa</t>
  </si>
  <si>
    <r>
      <t xml:space="preserve">Messwert in </t>
    </r>
    <r>
      <rPr>
        <b/>
        <sz val="10"/>
        <color theme="1"/>
        <rFont val="Arial"/>
        <family val="2"/>
      </rPr>
      <t>kPa</t>
    </r>
  </si>
  <si>
    <t>0 bis -100.000 kPa</t>
  </si>
  <si>
    <t>GIS</t>
  </si>
  <si>
    <t>Chirpstack</t>
  </si>
  <si>
    <t>blau</t>
  </si>
  <si>
    <t>&lt; 1,8</t>
  </si>
  <si>
    <t>gelb</t>
  </si>
  <si>
    <t>&gt; 3,0</t>
  </si>
  <si>
    <t>rot</t>
  </si>
  <si>
    <t>&gt; 3,6</t>
  </si>
  <si>
    <t>grün</t>
  </si>
  <si>
    <t>sonst</t>
  </si>
  <si>
    <t>SW</t>
  </si>
  <si>
    <t>Sensorstandort (SSO) 1</t>
  </si>
  <si>
    <t>Sensorstandort (SSO) 2</t>
  </si>
  <si>
    <t>Sensorstandort (SSO) 3</t>
  </si>
  <si>
    <t>Sensorstandort (SSO) 4</t>
  </si>
  <si>
    <t>Sensorstandort (SSO) 5</t>
  </si>
  <si>
    <t>Sensorstandort (SSO) 6</t>
  </si>
  <si>
    <t xml:space="preserve">Anzahl der SSOs pro RF </t>
  </si>
  <si>
    <t>oder</t>
  </si>
  <si>
    <t>Referenzflächenfarbe (RFF)</t>
  </si>
  <si>
    <t>Anteile der Standortwerte (SW) für die Grenzwerterfüllung</t>
  </si>
  <si>
    <t>Referenzflächen-farbe (RFF)</t>
  </si>
  <si>
    <t>Berechnung RFF für den Fall 1 SW pro RF und 2 SW pro RF</t>
  </si>
  <si>
    <t>Berechnung RFF für den Fall 3, 4 und 5 SW pro RF</t>
  </si>
  <si>
    <t>pF-Wert</t>
  </si>
  <si>
    <t>1,8-3</t>
  </si>
  <si>
    <t>Grenzwerte für die pF-Werte</t>
  </si>
  <si>
    <t>&lt;=3-3,6</t>
  </si>
  <si>
    <t>&gt;3,6</t>
  </si>
  <si>
    <t>TEROS21-Sensordaten</t>
  </si>
  <si>
    <r>
      <t>SW</t>
    </r>
    <r>
      <rPr>
        <vertAlign val="subscript"/>
        <sz val="10"/>
        <color theme="1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</si>
</sst>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2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vertAlign val="subscript"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6" fillId="0" borderId="0" xfId="0" applyFont="1"/>
    <xf numFmtId="0" fontId="6" fillId="7" borderId="0" xfId="0" applyFont="1" applyFill="1"/>
    <xf numFmtId="0" fontId="7" fillId="0" borderId="0" xfId="0" applyFont="1"/>
    <xf numFmtId="0" fontId="6" fillId="3" borderId="0" xfId="0" applyFont="1" applyFill="1"/>
    <xf numFmtId="0" fontId="6" fillId="6" borderId="0" xfId="0" applyFont="1" applyFill="1"/>
    <xf numFmtId="0" fontId="6" fillId="3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horizontal="center"/>
    </xf>
    <xf numFmtId="165" fontId="6" fillId="2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165" fontId="6" fillId="0" borderId="1" xfId="0" applyNumberFormat="1" applyFont="1" applyBorder="1"/>
    <xf numFmtId="165" fontId="6" fillId="0" borderId="1" xfId="0" applyNumberFormat="1" applyFont="1" applyFill="1" applyBorder="1"/>
    <xf numFmtId="0" fontId="7" fillId="8" borderId="0" xfId="0" applyFont="1" applyFill="1" applyAlignment="1">
      <alignment horizontal="left"/>
    </xf>
    <xf numFmtId="0" fontId="7" fillId="9" borderId="0" xfId="0" applyFont="1" applyFill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6" fillId="0" borderId="2" xfId="0" applyFont="1" applyBorder="1"/>
    <xf numFmtId="0" fontId="6" fillId="0" borderId="3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10" xfId="0" applyFont="1" applyBorder="1"/>
    <xf numFmtId="0" fontId="6" fillId="0" borderId="8" xfId="0" applyFont="1" applyBorder="1" applyAlignment="1">
      <alignment horizontal="right"/>
    </xf>
    <xf numFmtId="49" fontId="7" fillId="10" borderId="8" xfId="0" applyNumberFormat="1" applyFont="1" applyFill="1" applyBorder="1" applyAlignment="1">
      <alignment horizontal="left" vertical="center" wrapText="1"/>
    </xf>
    <xf numFmtId="0" fontId="6" fillId="3" borderId="8" xfId="0" applyFont="1" applyFill="1" applyBorder="1"/>
    <xf numFmtId="0" fontId="6" fillId="0" borderId="8" xfId="0" applyFont="1" applyFill="1" applyBorder="1"/>
    <xf numFmtId="0" fontId="7" fillId="0" borderId="8" xfId="0" applyFont="1" applyBorder="1" applyAlignment="1">
      <alignment horizontal="center"/>
    </xf>
    <xf numFmtId="165" fontId="6" fillId="2" borderId="8" xfId="0" applyNumberFormat="1" applyFont="1" applyFill="1" applyBorder="1"/>
    <xf numFmtId="165" fontId="6" fillId="0" borderId="8" xfId="0" applyNumberFormat="1" applyFont="1" applyFill="1" applyBorder="1"/>
    <xf numFmtId="164" fontId="6" fillId="0" borderId="8" xfId="0" applyNumberFormat="1" applyFont="1" applyBorder="1"/>
    <xf numFmtId="0" fontId="6" fillId="0" borderId="11" xfId="0" applyFont="1" applyBorder="1"/>
    <xf numFmtId="0" fontId="7" fillId="0" borderId="11" xfId="0" applyFont="1" applyBorder="1" applyAlignment="1">
      <alignment horizontal="center"/>
    </xf>
    <xf numFmtId="165" fontId="6" fillId="0" borderId="11" xfId="0" applyNumberFormat="1" applyFont="1" applyBorder="1"/>
    <xf numFmtId="165" fontId="6" fillId="0" borderId="11" xfId="0" applyNumberFormat="1" applyFont="1" applyFill="1" applyBorder="1"/>
    <xf numFmtId="164" fontId="6" fillId="0" borderId="11" xfId="0" applyNumberFormat="1" applyFont="1" applyBorder="1"/>
    <xf numFmtId="0" fontId="6" fillId="0" borderId="11" xfId="0" applyFont="1" applyBorder="1" applyAlignment="1">
      <alignment horizontal="right"/>
    </xf>
    <xf numFmtId="0" fontId="6" fillId="0" borderId="10" xfId="0" applyFont="1" applyFill="1" applyBorder="1"/>
    <xf numFmtId="0" fontId="6" fillId="0" borderId="13" xfId="0" applyFont="1" applyFill="1" applyBorder="1"/>
    <xf numFmtId="0" fontId="6" fillId="4" borderId="4" xfId="0" applyFont="1" applyFill="1" applyBorder="1"/>
    <xf numFmtId="0" fontId="0" fillId="0" borderId="12" xfId="0" applyBorder="1"/>
    <xf numFmtId="0" fontId="6" fillId="0" borderId="14" xfId="0" applyFont="1" applyFill="1" applyBorder="1"/>
    <xf numFmtId="0" fontId="6" fillId="0" borderId="14" xfId="0" applyFont="1" applyBorder="1"/>
    <xf numFmtId="0" fontId="6" fillId="0" borderId="15" xfId="0" applyFont="1" applyBorder="1"/>
    <xf numFmtId="0" fontId="6" fillId="0" borderId="17" xfId="0" applyFont="1" applyBorder="1"/>
    <xf numFmtId="165" fontId="6" fillId="2" borderId="11" xfId="0" applyNumberFormat="1" applyFont="1" applyFill="1" applyBorder="1"/>
    <xf numFmtId="0" fontId="6" fillId="0" borderId="18" xfId="0" applyFont="1" applyBorder="1"/>
    <xf numFmtId="0" fontId="7" fillId="0" borderId="19" xfId="0" applyFont="1" applyBorder="1"/>
    <xf numFmtId="0" fontId="6" fillId="5" borderId="12" xfId="0" applyFont="1" applyFill="1" applyBorder="1"/>
    <xf numFmtId="0" fontId="6" fillId="0" borderId="16" xfId="0" applyFont="1" applyFill="1" applyBorder="1"/>
    <xf numFmtId="0" fontId="7" fillId="0" borderId="20" xfId="0" applyFont="1" applyBorder="1"/>
    <xf numFmtId="0" fontId="7" fillId="0" borderId="18" xfId="0" applyFont="1" applyBorder="1"/>
    <xf numFmtId="0" fontId="6" fillId="0" borderId="18" xfId="0" applyFont="1" applyBorder="1" applyAlignment="1">
      <alignment horizontal="left"/>
    </xf>
    <xf numFmtId="0" fontId="6" fillId="0" borderId="21" xfId="0" applyFont="1" applyBorder="1"/>
    <xf numFmtId="0" fontId="6" fillId="0" borderId="15" xfId="0" applyFont="1" applyFill="1" applyBorder="1"/>
    <xf numFmtId="0" fontId="7" fillId="0" borderId="0" xfId="0" applyFont="1" applyFill="1" applyBorder="1" applyAlignment="1">
      <alignment horizontal="right"/>
    </xf>
    <xf numFmtId="49" fontId="7" fillId="10" borderId="7" xfId="0" applyNumberFormat="1" applyFont="1" applyFill="1" applyBorder="1" applyAlignment="1">
      <alignment horizontal="left" vertical="center" wrapText="1"/>
    </xf>
    <xf numFmtId="0" fontId="7" fillId="8" borderId="0" xfId="0" applyFont="1" applyFill="1" applyBorder="1" applyAlignment="1">
      <alignment horizontal="right"/>
    </xf>
    <xf numFmtId="0" fontId="7" fillId="10" borderId="7" xfId="0" applyFont="1" applyFill="1" applyBorder="1"/>
    <xf numFmtId="9" fontId="6" fillId="0" borderId="1" xfId="0" applyNumberFormat="1" applyFont="1" applyBorder="1" applyAlignment="1">
      <alignment horizontal="right"/>
    </xf>
    <xf numFmtId="10" fontId="6" fillId="8" borderId="1" xfId="0" applyNumberFormat="1" applyFont="1" applyFill="1" applyBorder="1" applyAlignment="1">
      <alignment horizontal="right"/>
    </xf>
    <xf numFmtId="9" fontId="6" fillId="8" borderId="1" xfId="0" applyNumberFormat="1" applyFont="1" applyFill="1" applyBorder="1" applyAlignment="1">
      <alignment horizontal="right"/>
    </xf>
    <xf numFmtId="0" fontId="6" fillId="8" borderId="1" xfId="0" applyFont="1" applyFill="1" applyBorder="1" applyAlignment="1">
      <alignment horizontal="right"/>
    </xf>
    <xf numFmtId="9" fontId="6" fillId="0" borderId="1" xfId="0" applyNumberFormat="1" applyFont="1" applyFill="1" applyBorder="1" applyAlignment="1">
      <alignment horizontal="right"/>
    </xf>
    <xf numFmtId="0" fontId="0" fillId="0" borderId="0" xfId="0" applyBorder="1"/>
    <xf numFmtId="0" fontId="9" fillId="11" borderId="0" xfId="0" applyFont="1" applyFill="1"/>
    <xf numFmtId="0" fontId="9" fillId="11" borderId="5" xfId="0" applyFont="1" applyFill="1" applyBorder="1"/>
    <xf numFmtId="0" fontId="8" fillId="11" borderId="9" xfId="0" applyFont="1" applyFill="1" applyBorder="1"/>
    <xf numFmtId="0" fontId="9" fillId="11" borderId="10" xfId="0" applyFont="1" applyFill="1" applyBorder="1"/>
    <xf numFmtId="9" fontId="6" fillId="0" borderId="10" xfId="0" applyNumberFormat="1" applyFont="1" applyBorder="1" applyAlignment="1">
      <alignment horizontal="right"/>
    </xf>
    <xf numFmtId="10" fontId="6" fillId="0" borderId="8" xfId="0" applyNumberFormat="1" applyFont="1" applyBorder="1" applyAlignment="1">
      <alignment horizontal="right"/>
    </xf>
    <xf numFmtId="10" fontId="7" fillId="0" borderId="22" xfId="0" applyNumberFormat="1" applyFont="1" applyBorder="1" applyAlignment="1">
      <alignment horizontal="right"/>
    </xf>
    <xf numFmtId="0" fontId="7" fillId="0" borderId="6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7" fillId="0" borderId="7" xfId="0" applyFont="1" applyBorder="1" applyAlignment="1">
      <alignment horizontal="right" vertical="center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26</xdr:row>
      <xdr:rowOff>22513</xdr:rowOff>
    </xdr:from>
    <xdr:to>
      <xdr:col>5</xdr:col>
      <xdr:colOff>247650</xdr:colOff>
      <xdr:row>40</xdr:row>
      <xdr:rowOff>9525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C3E9232B-2FCA-2F76-B1DE-EE77EC3EBFDD}"/>
            </a:ext>
          </a:extLst>
        </xdr:cNvPr>
        <xdr:cNvSpPr txBox="1"/>
      </xdr:nvSpPr>
      <xdr:spPr>
        <a:xfrm>
          <a:off x="390525" y="5118388"/>
          <a:ext cx="4962525" cy="26540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Messwert bzw. pF-Wert muss verknüpft werden</a:t>
          </a:r>
          <a:r>
            <a:rPr lang="de-DE" sz="1100" baseline="0"/>
            <a:t> mit: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Referenzfläche</a:t>
          </a:r>
          <a:r>
            <a:rPr lang="de-D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(GIS Layer)</a:t>
          </a:r>
          <a:endParaRPr lang="de-DE" sz="1100" baseline="0"/>
        </a:p>
        <a:p>
          <a:r>
            <a:rPr lang="de-DE" sz="1100" b="1" baseline="0"/>
            <a:t>Standort</a:t>
          </a:r>
          <a:r>
            <a:rPr lang="de-DE" sz="1100" baseline="0"/>
            <a:t> (Baumnummer KSJ Baumkataster)</a:t>
          </a:r>
        </a:p>
        <a:p>
          <a:r>
            <a:rPr lang="de-DE" sz="1100" b="1" baseline="0"/>
            <a:t>Tiefe</a:t>
          </a:r>
          <a:r>
            <a:rPr lang="de-DE" sz="1100" baseline="0"/>
            <a:t> (30 cm oder 60 cm)</a:t>
          </a:r>
        </a:p>
        <a:p>
          <a:r>
            <a:rPr lang="de-DE" sz="1100" b="1" baseline="0"/>
            <a:t>Anzahl der Sensorstandorte </a:t>
          </a:r>
          <a:r>
            <a:rPr lang="de-DE" sz="1100" baseline="0"/>
            <a:t>pro RF (z.B. 3 SSO pro RF </a:t>
          </a:r>
          <a:r>
            <a:rPr lang="de-DE" sz="1100" i="1" baseline="0"/>
            <a:t>oder</a:t>
          </a:r>
          <a:r>
            <a:rPr lang="de-DE" sz="1100" baseline="0"/>
            <a:t> 1/3)</a:t>
          </a:r>
        </a:p>
        <a:p>
          <a:endParaRPr lang="de-DE" sz="1100" baseline="0"/>
        </a:p>
        <a:p>
          <a:r>
            <a:rPr lang="de-DE" sz="1100" b="1">
              <a:solidFill>
                <a:schemeClr val="accent6">
                  <a:lumMod val="50000"/>
                </a:schemeClr>
              </a:solidFill>
            </a:rPr>
            <a:t>weitere Festlegungen:</a:t>
          </a:r>
        </a:p>
        <a:p>
          <a:r>
            <a:rPr lang="de-DE" sz="1100"/>
            <a:t>- der</a:t>
          </a:r>
          <a:r>
            <a:rPr lang="de-DE" sz="1100" baseline="0"/>
            <a:t> konkrete Bezug Refenzfläche-Device ist nicht fix, sondern dynamisch veränderbar</a:t>
          </a:r>
        </a:p>
        <a:p>
          <a:r>
            <a:rPr lang="de-DE" sz="1100" baseline="0"/>
            <a:t>- Device und Sensor(en) werden als einzelne Objekte modelliert</a:t>
          </a:r>
        </a:p>
        <a:p>
          <a:r>
            <a:rPr lang="de-DE" sz="1100" baseline="0"/>
            <a:t>- die Visualisierung der Messwerte als Graphen erfolgt jeweils für eine Referenzfläche</a:t>
          </a:r>
        </a:p>
        <a:p>
          <a:r>
            <a:rPr lang="de-DE" sz="1100" baseline="0"/>
            <a:t>- Bürger können die Refenenzflächen und die Werte einsehen, nicht aber die Devicestandorte</a:t>
          </a:r>
        </a:p>
        <a:p>
          <a:r>
            <a:rPr lang="de-DE" sz="1100" baseline="0"/>
            <a:t>- berechnet, visualisiert und gespeichert werden die jeweils letzten Werte, einmal im 15 Minuten-Takt</a:t>
          </a:r>
          <a:endParaRPr lang="de-DE" sz="1100"/>
        </a:p>
      </xdr:txBody>
    </xdr:sp>
    <xdr:clientData/>
  </xdr:twoCellAnchor>
  <xdr:twoCellAnchor>
    <xdr:from>
      <xdr:col>7</xdr:col>
      <xdr:colOff>1599</xdr:colOff>
      <xdr:row>25</xdr:row>
      <xdr:rowOff>186602</xdr:rowOff>
    </xdr:from>
    <xdr:to>
      <xdr:col>9</xdr:col>
      <xdr:colOff>1085850</xdr:colOff>
      <xdr:row>31</xdr:row>
      <xdr:rowOff>182880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4AF792CD-A3C5-4A99-B6FA-1DAA438C31FD}"/>
            </a:ext>
          </a:extLst>
        </xdr:cNvPr>
        <xdr:cNvSpPr txBox="1"/>
      </xdr:nvSpPr>
      <xdr:spPr>
        <a:xfrm>
          <a:off x="7172019" y="5063402"/>
          <a:ext cx="3309291" cy="11392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aseline="0"/>
            <a:t>Wertebereiche Standortfarbe (SF):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wenn SW = &gt; 3,6 pF --&gt; rot (Trockenstress)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wenn SW = 3 - 3,6 pF --&gt; gelb (leichter Trockenstress)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wenn SW = 1,8 - 3 pF --&gt; grün (optimal)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wenn SW = &lt; 1,8 pF --&gt; blau (sehr feucht)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wenn Fehler dann schwarz</a:t>
          </a:r>
          <a:endParaRPr lang="de-DE" sz="1100"/>
        </a:p>
      </xdr:txBody>
    </xdr:sp>
    <xdr:clientData/>
  </xdr:twoCellAnchor>
  <xdr:twoCellAnchor>
    <xdr:from>
      <xdr:col>6</xdr:col>
      <xdr:colOff>923578</xdr:colOff>
      <xdr:row>32</xdr:row>
      <xdr:rowOff>152400</xdr:rowOff>
    </xdr:from>
    <xdr:to>
      <xdr:col>10</xdr:col>
      <xdr:colOff>537210</xdr:colOff>
      <xdr:row>39</xdr:row>
      <xdr:rowOff>36671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8F6D3B37-0CBB-4444-BE97-0C6C7E71B567}"/>
            </a:ext>
          </a:extLst>
        </xdr:cNvPr>
        <xdr:cNvSpPr txBox="1"/>
      </xdr:nvSpPr>
      <xdr:spPr>
        <a:xfrm>
          <a:off x="7080538" y="6362700"/>
          <a:ext cx="4010372" cy="12177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aseline="0"/>
            <a:t>Wertebereiche Referenzflächenfarbe (RFF):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wenn 30% aller Werte einer RF &lt;1,8 --&gt; blau</a:t>
          </a:r>
        </a:p>
        <a:p>
          <a:pPr eaLnBrk="1" fontAlgn="auto" latinLnBrk="0" hangingPunct="1"/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wenn 66% aller Werte einer RF &gt;3,0 --&gt; gelb</a:t>
          </a:r>
          <a:endParaRPr lang="de-DE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wenn 20% aller Werte einer RF &gt;3,6 oder 80% aller Werte &gt;3 --&gt; rot</a:t>
          </a:r>
        </a:p>
        <a:p>
          <a:pPr eaLnBrk="1" fontAlgn="auto" latinLnBrk="0" hangingPunct="1"/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alle anderen Werte: grün</a:t>
          </a:r>
        </a:p>
        <a:p>
          <a:pPr eaLnBrk="1" fontAlgn="auto" latinLnBrk="0" hangingPunct="1"/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wenn Fehler dann schwarz</a:t>
          </a:r>
          <a:endParaRPr lang="de-DE">
            <a:effectLst/>
          </a:endParaRPr>
        </a:p>
      </xdr:txBody>
    </xdr:sp>
    <xdr:clientData/>
  </xdr:twoCellAnchor>
  <xdr:twoCellAnchor>
    <xdr:from>
      <xdr:col>5</xdr:col>
      <xdr:colOff>812803</xdr:colOff>
      <xdr:row>3</xdr:row>
      <xdr:rowOff>103184</xdr:rowOff>
    </xdr:from>
    <xdr:to>
      <xdr:col>6</xdr:col>
      <xdr:colOff>190503</xdr:colOff>
      <xdr:row>4</xdr:row>
      <xdr:rowOff>174623</xdr:rowOff>
    </xdr:to>
    <xdr:sp macro="" textlink="">
      <xdr:nvSpPr>
        <xdr:cNvPr id="5" name="Pfeil: nach unten gekrümmt 4">
          <a:extLst>
            <a:ext uri="{FF2B5EF4-FFF2-40B4-BE49-F238E27FC236}">
              <a16:creationId xmlns:a16="http://schemas.microsoft.com/office/drawing/2014/main" id="{AE9C91F3-C401-5E71-B84D-3F6A79BA853F}"/>
            </a:ext>
          </a:extLst>
        </xdr:cNvPr>
        <xdr:cNvSpPr/>
      </xdr:nvSpPr>
      <xdr:spPr>
        <a:xfrm>
          <a:off x="5321303" y="484184"/>
          <a:ext cx="560388" cy="261939"/>
        </a:xfrm>
        <a:prstGeom prst="curvedDownArrow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671508</xdr:colOff>
      <xdr:row>3</xdr:row>
      <xdr:rowOff>104771</xdr:rowOff>
    </xdr:from>
    <xdr:to>
      <xdr:col>7</xdr:col>
      <xdr:colOff>192084</xdr:colOff>
      <xdr:row>4</xdr:row>
      <xdr:rowOff>176210</xdr:rowOff>
    </xdr:to>
    <xdr:sp macro="" textlink="">
      <xdr:nvSpPr>
        <xdr:cNvPr id="6" name="Pfeil: nach unten gekrümmt 5">
          <a:extLst>
            <a:ext uri="{FF2B5EF4-FFF2-40B4-BE49-F238E27FC236}">
              <a16:creationId xmlns:a16="http://schemas.microsoft.com/office/drawing/2014/main" id="{6DFC0F71-99EB-4839-8F23-4657EEBA99F3}"/>
            </a:ext>
          </a:extLst>
        </xdr:cNvPr>
        <xdr:cNvSpPr/>
      </xdr:nvSpPr>
      <xdr:spPr>
        <a:xfrm>
          <a:off x="6362696" y="485771"/>
          <a:ext cx="560388" cy="261939"/>
        </a:xfrm>
        <a:prstGeom prst="curvedDownArrow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617538</xdr:colOff>
      <xdr:row>3</xdr:row>
      <xdr:rowOff>106359</xdr:rowOff>
    </xdr:from>
    <xdr:to>
      <xdr:col>8</xdr:col>
      <xdr:colOff>193676</xdr:colOff>
      <xdr:row>4</xdr:row>
      <xdr:rowOff>177798</xdr:rowOff>
    </xdr:to>
    <xdr:sp macro="" textlink="">
      <xdr:nvSpPr>
        <xdr:cNvPr id="7" name="Pfeil: nach unten gekrümmt 6">
          <a:extLst>
            <a:ext uri="{FF2B5EF4-FFF2-40B4-BE49-F238E27FC236}">
              <a16:creationId xmlns:a16="http://schemas.microsoft.com/office/drawing/2014/main" id="{D61956D7-36D0-45E5-B3F9-825CA3BD491B}"/>
            </a:ext>
          </a:extLst>
        </xdr:cNvPr>
        <xdr:cNvSpPr/>
      </xdr:nvSpPr>
      <xdr:spPr>
        <a:xfrm>
          <a:off x="7348538" y="487359"/>
          <a:ext cx="560388" cy="261939"/>
        </a:xfrm>
        <a:prstGeom prst="curvedDownArrow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746125</xdr:colOff>
      <xdr:row>3</xdr:row>
      <xdr:rowOff>100011</xdr:rowOff>
    </xdr:from>
    <xdr:to>
      <xdr:col>9</xdr:col>
      <xdr:colOff>203200</xdr:colOff>
      <xdr:row>4</xdr:row>
      <xdr:rowOff>171450</xdr:rowOff>
    </xdr:to>
    <xdr:sp macro="" textlink="">
      <xdr:nvSpPr>
        <xdr:cNvPr id="8" name="Pfeil: nach unten gekrümmt 7">
          <a:extLst>
            <a:ext uri="{FF2B5EF4-FFF2-40B4-BE49-F238E27FC236}">
              <a16:creationId xmlns:a16="http://schemas.microsoft.com/office/drawing/2014/main" id="{F2A356F8-2412-420B-9965-283364149129}"/>
            </a:ext>
          </a:extLst>
        </xdr:cNvPr>
        <xdr:cNvSpPr/>
      </xdr:nvSpPr>
      <xdr:spPr>
        <a:xfrm>
          <a:off x="8461375" y="481011"/>
          <a:ext cx="560388" cy="261939"/>
        </a:xfrm>
        <a:prstGeom prst="curvedDownArrow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744139</xdr:colOff>
      <xdr:row>2</xdr:row>
      <xdr:rowOff>7949</xdr:rowOff>
    </xdr:from>
    <xdr:to>
      <xdr:col>10</xdr:col>
      <xdr:colOff>325438</xdr:colOff>
      <xdr:row>4</xdr:row>
      <xdr:rowOff>176221</xdr:rowOff>
    </xdr:to>
    <xdr:sp macro="" textlink="">
      <xdr:nvSpPr>
        <xdr:cNvPr id="9" name="Pfeil: nach unten gekrümmt 8">
          <a:extLst>
            <a:ext uri="{FF2B5EF4-FFF2-40B4-BE49-F238E27FC236}">
              <a16:creationId xmlns:a16="http://schemas.microsoft.com/office/drawing/2014/main" id="{4E2EC0C2-77D5-4C0C-9D35-7792A217CF2A}"/>
            </a:ext>
          </a:extLst>
        </xdr:cNvPr>
        <xdr:cNvSpPr/>
      </xdr:nvSpPr>
      <xdr:spPr>
        <a:xfrm>
          <a:off x="8453436" y="591355"/>
          <a:ext cx="1795861" cy="549272"/>
        </a:xfrm>
        <a:prstGeom prst="curvedDownArrow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60614</xdr:colOff>
      <xdr:row>25</xdr:row>
      <xdr:rowOff>86591</xdr:rowOff>
    </xdr:from>
    <xdr:to>
      <xdr:col>19</xdr:col>
      <xdr:colOff>242455</xdr:colOff>
      <xdr:row>26</xdr:row>
      <xdr:rowOff>138546</xdr:rowOff>
    </xdr:to>
    <xdr:sp macro="" textlink="">
      <xdr:nvSpPr>
        <xdr:cNvPr id="20" name="Pfeil: nach links gekrümmt 19">
          <a:extLst>
            <a:ext uri="{FF2B5EF4-FFF2-40B4-BE49-F238E27FC236}">
              <a16:creationId xmlns:a16="http://schemas.microsoft.com/office/drawing/2014/main" id="{E4085B35-1EAF-4E55-DFAE-DE7929FE8AC6}"/>
            </a:ext>
          </a:extLst>
        </xdr:cNvPr>
        <xdr:cNvSpPr/>
      </xdr:nvSpPr>
      <xdr:spPr>
        <a:xfrm>
          <a:off x="21691023" y="5212773"/>
          <a:ext cx="181841" cy="242455"/>
        </a:xfrm>
        <a:prstGeom prst="curvedLeftArrow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228600</xdr:colOff>
      <xdr:row>30</xdr:row>
      <xdr:rowOff>180975</xdr:rowOff>
    </xdr:from>
    <xdr:to>
      <xdr:col>15</xdr:col>
      <xdr:colOff>590550</xdr:colOff>
      <xdr:row>34</xdr:row>
      <xdr:rowOff>123825</xdr:rowOff>
    </xdr:to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5B62C35-AA3A-C34E-C9AC-A13AC0D9CBE3}"/>
            </a:ext>
          </a:extLst>
        </xdr:cNvPr>
        <xdr:cNvSpPr txBox="1"/>
      </xdr:nvSpPr>
      <xdr:spPr>
        <a:xfrm>
          <a:off x="15392400" y="6038850"/>
          <a:ext cx="2828925" cy="70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wenn 33,33% der Standortwerte</a:t>
          </a:r>
          <a:r>
            <a:rPr lang="de-DE" sz="1100" baseline="0"/>
            <a:t> (SW) einer Referenzfläche (RF)  &lt;1,8 sind, ist die Referenzflächenfarbe (RFF) blau</a:t>
          </a:r>
          <a:endParaRPr lang="de-DE" sz="1100"/>
        </a:p>
      </xdr:txBody>
    </xdr:sp>
    <xdr:clientData/>
  </xdr:twoCellAnchor>
  <xdr:twoCellAnchor>
    <xdr:from>
      <xdr:col>14</xdr:col>
      <xdr:colOff>0</xdr:colOff>
      <xdr:row>23</xdr:row>
      <xdr:rowOff>190500</xdr:rowOff>
    </xdr:from>
    <xdr:to>
      <xdr:col>14</xdr:col>
      <xdr:colOff>376238</xdr:colOff>
      <xdr:row>30</xdr:row>
      <xdr:rowOff>180975</xdr:rowOff>
    </xdr:to>
    <xdr:cxnSp macro="">
      <xdr:nvCxnSpPr>
        <xdr:cNvPr id="12" name="Gerader Verbinder 11">
          <a:extLst>
            <a:ext uri="{FF2B5EF4-FFF2-40B4-BE49-F238E27FC236}">
              <a16:creationId xmlns:a16="http://schemas.microsoft.com/office/drawing/2014/main" id="{227C008F-074F-5310-5A85-013C3AE14637}"/>
            </a:ext>
          </a:extLst>
        </xdr:cNvPr>
        <xdr:cNvCxnSpPr>
          <a:stCxn id="10" idx="0"/>
        </xdr:cNvCxnSpPr>
      </xdr:nvCxnSpPr>
      <xdr:spPr>
        <a:xfrm flipH="1" flipV="1">
          <a:off x="16430625" y="4695825"/>
          <a:ext cx="376238" cy="1343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C76D-E2A9-4EB7-86D1-BB3A8AD38C7A}">
  <dimension ref="A2:S28"/>
  <sheetViews>
    <sheetView tabSelected="1" topLeftCell="A6" zoomScaleNormal="100" workbookViewId="0">
      <selection activeCell="G43" sqref="G43"/>
    </sheetView>
  </sheetViews>
  <sheetFormatPr baseColWidth="10" defaultRowHeight="15" x14ac:dyDescent="0.2"/>
  <cols>
    <col min="1" max="1" width="5" customWidth="1"/>
    <col min="2" max="2" width="16.33203125" customWidth="1"/>
    <col min="3" max="3" width="18.44140625" customWidth="1"/>
    <col min="4" max="4" width="11.33203125" customWidth="1"/>
    <col min="5" max="5" width="8.44140625" customWidth="1"/>
    <col min="6" max="6" width="13.77734375" customWidth="1"/>
    <col min="7" max="7" width="12.109375" customWidth="1"/>
    <col min="8" max="8" width="12" customWidth="1"/>
    <col min="9" max="9" width="14.5546875" customWidth="1"/>
    <col min="10" max="10" width="13.77734375" customWidth="1"/>
    <col min="11" max="11" width="20.109375" customWidth="1"/>
    <col min="12" max="12" width="5.6640625" customWidth="1"/>
    <col min="13" max="13" width="25.33203125" customWidth="1"/>
    <col min="14" max="14" width="14.77734375" customWidth="1"/>
    <col min="15" max="16" width="14" customWidth="1"/>
    <col min="17" max="17" width="14.21875" customWidth="1"/>
    <col min="18" max="18" width="14.44140625" customWidth="1"/>
    <col min="19" max="19" width="6.33203125" customWidth="1"/>
    <col min="20" max="20" width="14.44140625" customWidth="1"/>
    <col min="21" max="21" width="6.5546875" customWidth="1"/>
  </cols>
  <sheetData>
    <row r="2" spans="1:19" ht="15.75" x14ac:dyDescent="0.25">
      <c r="B2" s="1" t="s">
        <v>53</v>
      </c>
    </row>
    <row r="4" spans="1:19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9" ht="15.75" thickBot="1" x14ac:dyDescent="0.25">
      <c r="B5" s="48"/>
      <c r="C5" s="48"/>
      <c r="D5" s="48"/>
      <c r="E5" s="48"/>
      <c r="F5" s="48"/>
      <c r="G5" s="48"/>
      <c r="H5" s="48"/>
      <c r="I5" s="48"/>
      <c r="J5" s="48"/>
      <c r="K5" s="48"/>
      <c r="L5" s="2"/>
    </row>
    <row r="6" spans="1:19" x14ac:dyDescent="0.2">
      <c r="A6" s="42"/>
      <c r="B6" s="2"/>
      <c r="C6" s="2"/>
      <c r="D6" s="2"/>
      <c r="E6" s="2"/>
      <c r="F6" s="4" t="s">
        <v>13</v>
      </c>
      <c r="G6" s="4" t="s">
        <v>14</v>
      </c>
      <c r="H6" s="4" t="s">
        <v>14</v>
      </c>
      <c r="I6" s="4" t="s">
        <v>14</v>
      </c>
      <c r="J6" s="4" t="s">
        <v>14</v>
      </c>
      <c r="K6" s="49" t="s">
        <v>14</v>
      </c>
      <c r="L6" s="2"/>
    </row>
    <row r="7" spans="1:19" x14ac:dyDescent="0.2">
      <c r="A7" s="42"/>
      <c r="B7" s="2"/>
      <c r="C7" s="2"/>
      <c r="D7" s="2"/>
      <c r="E7" s="2"/>
      <c r="F7" s="3" t="s">
        <v>22</v>
      </c>
      <c r="G7" s="16" t="s">
        <v>21</v>
      </c>
      <c r="H7" s="17" t="s">
        <v>48</v>
      </c>
      <c r="I7" s="5" t="s">
        <v>12</v>
      </c>
      <c r="J7" s="6" t="s">
        <v>15</v>
      </c>
      <c r="K7" s="50" t="s">
        <v>43</v>
      </c>
      <c r="L7" s="2"/>
    </row>
    <row r="8" spans="1:19" ht="15.75" thickBot="1" x14ac:dyDescent="0.25">
      <c r="A8" s="42"/>
      <c r="B8" s="52" t="s">
        <v>24</v>
      </c>
      <c r="C8" s="53" t="s">
        <v>24</v>
      </c>
      <c r="D8" s="53" t="s">
        <v>25</v>
      </c>
      <c r="E8" s="48"/>
      <c r="F8" s="48" t="s">
        <v>23</v>
      </c>
      <c r="G8" s="54"/>
      <c r="H8" s="54" t="s">
        <v>16</v>
      </c>
      <c r="I8" s="48"/>
      <c r="J8" s="48"/>
      <c r="K8" s="55"/>
      <c r="L8" s="2"/>
      <c r="M8" s="66"/>
    </row>
    <row r="9" spans="1:19" x14ac:dyDescent="0.2">
      <c r="A9" s="42"/>
      <c r="B9" s="41" t="s">
        <v>19</v>
      </c>
      <c r="C9" s="27" t="s">
        <v>35</v>
      </c>
      <c r="D9" s="28" t="s">
        <v>17</v>
      </c>
      <c r="E9" s="29" t="s">
        <v>0</v>
      </c>
      <c r="F9" s="30">
        <v>-105</v>
      </c>
      <c r="G9" s="31">
        <f>F9*10</f>
        <v>-1050</v>
      </c>
      <c r="H9" s="32">
        <f>LOG(ABS(G9))</f>
        <v>3.0211892990699383</v>
      </c>
      <c r="I9" s="32">
        <f>(H9+H10)/2</f>
        <v>3.2534553627757594</v>
      </c>
      <c r="J9" s="25" t="str">
        <f>IF(I9&lt;1.8,"Blau",IF(I9&lt;=3,"Grün",IF(I9&lt;=3.6,"Gelb","Rot")))</f>
        <v>Gelb</v>
      </c>
      <c r="K9" s="51"/>
      <c r="L9" s="2"/>
    </row>
    <row r="10" spans="1:19" x14ac:dyDescent="0.2">
      <c r="A10" s="42"/>
      <c r="B10" s="24"/>
      <c r="C10" s="12"/>
      <c r="D10" s="12" t="s">
        <v>18</v>
      </c>
      <c r="E10" s="9" t="s">
        <v>1</v>
      </c>
      <c r="F10" s="10">
        <v>-306</v>
      </c>
      <c r="G10" s="15">
        <f>F10*10</f>
        <v>-3060</v>
      </c>
      <c r="H10" s="11">
        <f>LOG(ABS(G10))</f>
        <v>3.4857214264815801</v>
      </c>
      <c r="I10" s="11"/>
      <c r="J10" s="13" t="str">
        <f t="shared" ref="J10:J25" si="0">IF(I10&lt;1.8,"Blau",IF(I10&lt;=3,"Grün",IF(I10&lt;=3.6,"Gelb","Rot")))</f>
        <v>Blau</v>
      </c>
      <c r="K10" s="43"/>
      <c r="L10" s="2"/>
      <c r="M10" s="2"/>
      <c r="N10" s="2"/>
      <c r="O10" s="2"/>
      <c r="P10" s="2"/>
      <c r="Q10" s="2"/>
      <c r="R10" s="2"/>
      <c r="S10" s="2"/>
    </row>
    <row r="11" spans="1:19" x14ac:dyDescent="0.2">
      <c r="A11" s="42"/>
      <c r="B11" s="24"/>
      <c r="C11" s="12"/>
      <c r="D11" s="12"/>
      <c r="E11" s="9"/>
      <c r="F11" s="14"/>
      <c r="G11" s="15"/>
      <c r="H11" s="11"/>
      <c r="I11" s="11"/>
      <c r="J11" s="13"/>
      <c r="K11" s="43"/>
      <c r="L11" s="2"/>
      <c r="M11" s="2"/>
      <c r="N11" s="2"/>
      <c r="O11" s="2"/>
      <c r="P11" s="2"/>
      <c r="Q11" s="2"/>
      <c r="R11" s="2"/>
      <c r="S11" s="2"/>
    </row>
    <row r="12" spans="1:19" x14ac:dyDescent="0.2">
      <c r="A12" s="42"/>
      <c r="B12" s="24"/>
      <c r="C12" s="7" t="s">
        <v>36</v>
      </c>
      <c r="D12" s="8" t="s">
        <v>17</v>
      </c>
      <c r="E12" s="9" t="s">
        <v>2</v>
      </c>
      <c r="F12" s="10">
        <v>-450</v>
      </c>
      <c r="G12" s="15">
        <f>F12*10</f>
        <v>-4500</v>
      </c>
      <c r="H12" s="11">
        <f t="shared" ref="H12:H25" si="1">LOG(ABS(G12))</f>
        <v>3.6532125137753435</v>
      </c>
      <c r="I12" s="11">
        <f>(H12+H13)/2</f>
        <v>3.7245462655597095</v>
      </c>
      <c r="J12" s="13" t="str">
        <f t="shared" si="0"/>
        <v>Rot</v>
      </c>
      <c r="K12" s="43"/>
      <c r="L12" s="2"/>
      <c r="M12" s="68" t="s">
        <v>46</v>
      </c>
      <c r="N12" s="69"/>
      <c r="O12" s="70"/>
      <c r="P12" s="2"/>
      <c r="Q12" s="2"/>
      <c r="R12" s="2"/>
      <c r="S12" s="2"/>
    </row>
    <row r="13" spans="1:19" ht="15" customHeight="1" x14ac:dyDescent="0.2">
      <c r="A13" s="42"/>
      <c r="B13" s="24"/>
      <c r="C13" s="12"/>
      <c r="D13" s="12" t="s">
        <v>18</v>
      </c>
      <c r="E13" s="9" t="s">
        <v>3</v>
      </c>
      <c r="F13" s="10">
        <v>-625</v>
      </c>
      <c r="G13" s="15">
        <f>F13*10</f>
        <v>-6250</v>
      </c>
      <c r="H13" s="11">
        <f t="shared" si="1"/>
        <v>3.7958800173440754</v>
      </c>
      <c r="I13" s="11"/>
      <c r="J13" s="13" t="str">
        <f t="shared" si="0"/>
        <v>Blau</v>
      </c>
      <c r="K13" s="43"/>
      <c r="L13" s="2"/>
      <c r="M13" s="76"/>
      <c r="N13" s="77"/>
      <c r="O13" s="78"/>
      <c r="P13" s="74" t="s">
        <v>50</v>
      </c>
      <c r="Q13" s="74" t="s">
        <v>45</v>
      </c>
    </row>
    <row r="14" spans="1:19" x14ac:dyDescent="0.2">
      <c r="A14" s="42"/>
      <c r="B14" s="24"/>
      <c r="C14" s="12"/>
      <c r="D14" s="12"/>
      <c r="E14" s="9"/>
      <c r="F14" s="14"/>
      <c r="G14" s="15"/>
      <c r="H14" s="11"/>
      <c r="I14" s="11"/>
      <c r="J14" s="13"/>
      <c r="K14" s="43"/>
      <c r="L14" s="2"/>
      <c r="M14" s="26" t="s">
        <v>41</v>
      </c>
      <c r="N14" s="60">
        <v>1</v>
      </c>
      <c r="O14" s="60">
        <v>2</v>
      </c>
      <c r="P14" s="79"/>
      <c r="Q14" s="79"/>
    </row>
    <row r="15" spans="1:19" ht="16.5" x14ac:dyDescent="0.3">
      <c r="A15" s="42"/>
      <c r="B15" s="39"/>
      <c r="C15" s="7" t="s">
        <v>37</v>
      </c>
      <c r="D15" s="8" t="s">
        <v>17</v>
      </c>
      <c r="E15" s="9" t="s">
        <v>4</v>
      </c>
      <c r="F15" s="10">
        <v>-7000</v>
      </c>
      <c r="G15" s="15">
        <f>F15*10</f>
        <v>-70000</v>
      </c>
      <c r="H15" s="11">
        <f t="shared" si="1"/>
        <v>4.8450980400142569</v>
      </c>
      <c r="I15" s="11">
        <f>(H15+H16)/2</f>
        <v>4.911867494199365</v>
      </c>
      <c r="J15" s="13" t="str">
        <f t="shared" si="0"/>
        <v>Rot</v>
      </c>
      <c r="K15" s="43"/>
      <c r="L15" s="2"/>
      <c r="M15" s="80" t="s">
        <v>44</v>
      </c>
      <c r="N15" s="65" t="s">
        <v>34</v>
      </c>
      <c r="O15" s="61" t="s">
        <v>54</v>
      </c>
      <c r="P15" s="13" t="s">
        <v>27</v>
      </c>
      <c r="Q15" s="13" t="s">
        <v>26</v>
      </c>
    </row>
    <row r="16" spans="1:19" ht="16.5" x14ac:dyDescent="0.3">
      <c r="A16" s="42"/>
      <c r="B16" s="39"/>
      <c r="C16" s="12"/>
      <c r="D16" s="12" t="s">
        <v>18</v>
      </c>
      <c r="E16" s="9" t="s">
        <v>5</v>
      </c>
      <c r="F16" s="10">
        <v>-9520</v>
      </c>
      <c r="G16" s="15">
        <f>F16*10</f>
        <v>-95200</v>
      </c>
      <c r="H16" s="11">
        <f t="shared" si="1"/>
        <v>4.9786369483844739</v>
      </c>
      <c r="I16" s="11"/>
      <c r="J16" s="13" t="str">
        <f t="shared" si="0"/>
        <v>Blau</v>
      </c>
      <c r="K16" s="43"/>
      <c r="L16" s="2"/>
      <c r="M16" s="81"/>
      <c r="N16" s="65" t="s">
        <v>34</v>
      </c>
      <c r="O16" s="61" t="s">
        <v>54</v>
      </c>
      <c r="P16" s="13" t="s">
        <v>49</v>
      </c>
      <c r="Q16" s="13" t="s">
        <v>32</v>
      </c>
    </row>
    <row r="17" spans="1:19" ht="17.25" thickBot="1" x14ac:dyDescent="0.35">
      <c r="A17" s="42"/>
      <c r="B17" s="40"/>
      <c r="C17" s="33"/>
      <c r="D17" s="33"/>
      <c r="E17" s="34"/>
      <c r="F17" s="35"/>
      <c r="G17" s="36"/>
      <c r="H17" s="37"/>
      <c r="I17" s="37"/>
      <c r="J17" s="38"/>
      <c r="K17" s="56"/>
      <c r="L17" s="2"/>
      <c r="M17" s="22"/>
      <c r="N17" s="65" t="s">
        <v>34</v>
      </c>
      <c r="O17" s="61" t="s">
        <v>54</v>
      </c>
      <c r="P17" s="13" t="s">
        <v>51</v>
      </c>
      <c r="Q17" s="13" t="s">
        <v>28</v>
      </c>
      <c r="R17" s="57"/>
    </row>
    <row r="18" spans="1:19" ht="16.5" x14ac:dyDescent="0.3">
      <c r="A18" s="42"/>
      <c r="B18" s="41" t="s">
        <v>20</v>
      </c>
      <c r="C18" s="27" t="s">
        <v>38</v>
      </c>
      <c r="D18" s="28" t="s">
        <v>17</v>
      </c>
      <c r="E18" s="29" t="s">
        <v>6</v>
      </c>
      <c r="F18" s="30">
        <v>-20150</v>
      </c>
      <c r="G18" s="31">
        <f>F18*10</f>
        <v>-201500</v>
      </c>
      <c r="H18" s="32">
        <f t="shared" si="1"/>
        <v>5.3042750504771279</v>
      </c>
      <c r="I18" s="32">
        <f>(H18+H19)/2</f>
        <v>5.3552968847126641</v>
      </c>
      <c r="J18" s="25" t="str">
        <f t="shared" si="0"/>
        <v>Rot</v>
      </c>
      <c r="K18" s="51"/>
      <c r="L18" s="2"/>
      <c r="M18" s="22"/>
      <c r="N18" s="65" t="s">
        <v>34</v>
      </c>
      <c r="O18" s="61" t="s">
        <v>54</v>
      </c>
      <c r="P18" s="13" t="s">
        <v>52</v>
      </c>
      <c r="Q18" s="13" t="s">
        <v>30</v>
      </c>
    </row>
    <row r="19" spans="1:19" x14ac:dyDescent="0.2">
      <c r="A19" s="42"/>
      <c r="B19" s="24"/>
      <c r="C19" s="12"/>
      <c r="D19" s="12" t="s">
        <v>18</v>
      </c>
      <c r="E19" s="9" t="s">
        <v>7</v>
      </c>
      <c r="F19" s="10">
        <v>-25487</v>
      </c>
      <c r="G19" s="15">
        <f>F19*10</f>
        <v>-254870</v>
      </c>
      <c r="H19" s="11">
        <f t="shared" si="1"/>
        <v>5.4063187189482003</v>
      </c>
      <c r="I19" s="11"/>
      <c r="J19" s="13" t="str">
        <f t="shared" si="0"/>
        <v>Blau</v>
      </c>
      <c r="K19" s="43"/>
      <c r="L19" s="2"/>
      <c r="M19" s="23"/>
      <c r="N19" s="20"/>
      <c r="O19" s="21"/>
      <c r="P19" s="25"/>
      <c r="Q19" s="25"/>
    </row>
    <row r="20" spans="1:19" x14ac:dyDescent="0.2">
      <c r="A20" s="42"/>
      <c r="B20" s="24"/>
      <c r="C20" s="12"/>
      <c r="D20" s="12"/>
      <c r="E20" s="9"/>
      <c r="F20" s="14"/>
      <c r="G20" s="15"/>
      <c r="H20" s="11"/>
      <c r="I20" s="11"/>
      <c r="J20" s="13"/>
      <c r="K20" s="43"/>
      <c r="L20" s="2"/>
      <c r="M20" s="2"/>
      <c r="N20" s="18"/>
      <c r="O20" s="18"/>
      <c r="P20" s="19"/>
      <c r="Q20" s="19"/>
      <c r="S20" s="2"/>
    </row>
    <row r="21" spans="1:19" x14ac:dyDescent="0.2">
      <c r="A21" s="42"/>
      <c r="B21" s="24"/>
      <c r="C21" s="7" t="s">
        <v>39</v>
      </c>
      <c r="D21" s="8" t="s">
        <v>17</v>
      </c>
      <c r="E21" s="9" t="s">
        <v>8</v>
      </c>
      <c r="F21" s="10">
        <v>-75621</v>
      </c>
      <c r="G21" s="15">
        <f>F21*10</f>
        <v>-756210</v>
      </c>
      <c r="H21" s="11">
        <f t="shared" si="1"/>
        <v>5.8786424161052047</v>
      </c>
      <c r="I21" s="11">
        <f t="shared" ref="I21" si="2">(H21+H22)/2</f>
        <v>5.856525201169493</v>
      </c>
      <c r="J21" s="13" t="str">
        <f t="shared" si="0"/>
        <v>Rot</v>
      </c>
      <c r="K21" s="44"/>
      <c r="L21" s="2"/>
      <c r="M21" s="67" t="s">
        <v>47</v>
      </c>
      <c r="N21" s="67"/>
      <c r="O21" s="67"/>
      <c r="P21" s="2"/>
      <c r="Q21" s="2"/>
      <c r="R21" s="2"/>
    </row>
    <row r="22" spans="1:19" ht="15" customHeight="1" x14ac:dyDescent="0.2">
      <c r="A22" s="42"/>
      <c r="B22" s="24"/>
      <c r="C22" s="12"/>
      <c r="D22" s="12" t="s">
        <v>18</v>
      </c>
      <c r="E22" s="9" t="s">
        <v>9</v>
      </c>
      <c r="F22" s="10">
        <v>-68298</v>
      </c>
      <c r="G22" s="15">
        <f>F22*10</f>
        <v>-682980</v>
      </c>
      <c r="H22" s="11">
        <f t="shared" si="1"/>
        <v>5.8344079862337823</v>
      </c>
      <c r="I22" s="11"/>
      <c r="J22" s="13" t="str">
        <f t="shared" si="0"/>
        <v>Blau</v>
      </c>
      <c r="K22" s="44"/>
      <c r="L22" s="2"/>
      <c r="M22" s="76"/>
      <c r="N22" s="77"/>
      <c r="O22" s="77"/>
      <c r="P22" s="78"/>
      <c r="Q22" s="74" t="s">
        <v>50</v>
      </c>
      <c r="R22" s="74" t="s">
        <v>45</v>
      </c>
    </row>
    <row r="23" spans="1:19" ht="15.75" thickBot="1" x14ac:dyDescent="0.25">
      <c r="A23" s="42"/>
      <c r="B23" s="24"/>
      <c r="C23" s="12"/>
      <c r="D23" s="12"/>
      <c r="E23" s="9"/>
      <c r="F23" s="14"/>
      <c r="G23" s="15"/>
      <c r="H23" s="11"/>
      <c r="I23" s="11"/>
      <c r="J23" s="13"/>
      <c r="K23" s="44"/>
      <c r="L23" s="2"/>
      <c r="M23" s="58" t="s">
        <v>41</v>
      </c>
      <c r="N23" s="60">
        <v>3</v>
      </c>
      <c r="O23" s="60">
        <v>4</v>
      </c>
      <c r="P23" s="60">
        <v>5</v>
      </c>
      <c r="Q23" s="79"/>
      <c r="R23" s="75"/>
    </row>
    <row r="24" spans="1:19" ht="15.75" thickBot="1" x14ac:dyDescent="0.25">
      <c r="A24" s="42"/>
      <c r="B24" s="24"/>
      <c r="C24" s="7" t="s">
        <v>40</v>
      </c>
      <c r="D24" s="8" t="s">
        <v>17</v>
      </c>
      <c r="E24" s="9" t="s">
        <v>10</v>
      </c>
      <c r="F24" s="10">
        <v>-1250</v>
      </c>
      <c r="G24" s="15">
        <f>F24*10</f>
        <v>-12500</v>
      </c>
      <c r="H24" s="11">
        <f t="shared" si="1"/>
        <v>4.0969100130080562</v>
      </c>
      <c r="I24" s="11">
        <f>(H24+H25)/2</f>
        <v>4.3217880190391202</v>
      </c>
      <c r="J24" s="13" t="str">
        <f t="shared" si="0"/>
        <v>Rot</v>
      </c>
      <c r="K24" s="44"/>
      <c r="L24" s="2"/>
      <c r="M24" s="82" t="s">
        <v>44</v>
      </c>
      <c r="N24" s="73">
        <v>0.33329999999999999</v>
      </c>
      <c r="O24" s="71">
        <v>0.25</v>
      </c>
      <c r="P24" s="61">
        <v>0.4</v>
      </c>
      <c r="Q24" s="13" t="s">
        <v>27</v>
      </c>
      <c r="R24" s="13" t="s">
        <v>26</v>
      </c>
    </row>
    <row r="25" spans="1:19" ht="15.75" thickBot="1" x14ac:dyDescent="0.25">
      <c r="A25" s="42"/>
      <c r="B25" s="46"/>
      <c r="C25" s="33"/>
      <c r="D25" s="33" t="s">
        <v>18</v>
      </c>
      <c r="E25" s="34" t="s">
        <v>11</v>
      </c>
      <c r="F25" s="47">
        <v>-3521</v>
      </c>
      <c r="G25" s="36">
        <f>F25*10</f>
        <v>-35210</v>
      </c>
      <c r="H25" s="37">
        <f t="shared" si="1"/>
        <v>4.5466660250701842</v>
      </c>
      <c r="I25" s="37"/>
      <c r="J25" s="38" t="str">
        <f t="shared" si="0"/>
        <v>Blau</v>
      </c>
      <c r="K25" s="45"/>
      <c r="L25" s="2"/>
      <c r="M25" s="81"/>
      <c r="N25" s="72">
        <v>0.66659999999999997</v>
      </c>
      <c r="O25" s="61">
        <v>0.5</v>
      </c>
      <c r="P25" s="61">
        <v>0.6</v>
      </c>
      <c r="Q25" s="13" t="s">
        <v>29</v>
      </c>
      <c r="R25" s="13" t="s">
        <v>28</v>
      </c>
      <c r="S25" s="57"/>
    </row>
    <row r="26" spans="1:19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2"/>
      <c r="N26" s="62">
        <v>0.33329999999999999</v>
      </c>
      <c r="O26" s="63">
        <v>0.25</v>
      </c>
      <c r="P26" s="63">
        <v>0.2</v>
      </c>
      <c r="Q26" s="64" t="s">
        <v>31</v>
      </c>
      <c r="R26" s="64" t="s">
        <v>30</v>
      </c>
      <c r="S26" s="59" t="s">
        <v>42</v>
      </c>
    </row>
    <row r="27" spans="1:19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2"/>
      <c r="N27" s="63">
        <v>1</v>
      </c>
      <c r="O27" s="63">
        <v>0.75</v>
      </c>
      <c r="P27" s="63">
        <v>0.8</v>
      </c>
      <c r="Q27" s="64" t="s">
        <v>29</v>
      </c>
      <c r="R27" s="64" t="s">
        <v>30</v>
      </c>
    </row>
    <row r="28" spans="1:19" x14ac:dyDescent="0.2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3"/>
      <c r="N28" s="12"/>
      <c r="O28" s="12"/>
      <c r="P28" s="12"/>
      <c r="Q28" s="13" t="s">
        <v>33</v>
      </c>
      <c r="R28" s="13" t="s">
        <v>32</v>
      </c>
    </row>
  </sheetData>
  <mergeCells count="8">
    <mergeCell ref="M24:M25"/>
    <mergeCell ref="Q22:Q23"/>
    <mergeCell ref="R22:R23"/>
    <mergeCell ref="M22:P22"/>
    <mergeCell ref="P13:P14"/>
    <mergeCell ref="Q13:Q14"/>
    <mergeCell ref="M13:O13"/>
    <mergeCell ref="M15:M16"/>
  </mergeCells>
  <phoneticPr fontId="10" type="noConversion"/>
  <pageMargins left="0.7" right="0.7" top="0.78740157499999996" bottom="0.78740157499999996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Jena - Lichtstadt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Busch</dc:creator>
  <cp:lastModifiedBy>Olivia Busch</cp:lastModifiedBy>
  <dcterms:created xsi:type="dcterms:W3CDTF">2025-06-12T13:30:41Z</dcterms:created>
  <dcterms:modified xsi:type="dcterms:W3CDTF">2025-06-30T09:52:47Z</dcterms:modified>
</cp:coreProperties>
</file>